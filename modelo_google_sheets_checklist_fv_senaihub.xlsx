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741946841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Coordenacao" sheetId="1" r:id="R355a0efad4844e1e"/>
    <x:sheet xmlns:r="http://schemas.openxmlformats.org/officeDocument/2006/relationships" name="Registros_Praticas" sheetId="2" r:id="Rc9cadb8f319b4352"/>
    <x:sheet xmlns:r="http://schemas.openxmlformats.org/officeDocument/2006/relationships" name="Professores" sheetId="3" r:id="R6901fae11f884eb9"/>
    <x:sheet xmlns:r="http://schemas.openxmlformats.org/officeDocument/2006/relationships" name="Turmas" sheetId="4" r:id="R8127a7cb64b2421b"/>
    <x:sheet xmlns:r="http://schemas.openxmlformats.org/officeDocument/2006/relationships" name="Aulas_Praticas" sheetId="5" r:id="R76e9d15b46aa4357"/>
    <x:sheet xmlns:r="http://schemas.openxmlformats.org/officeDocument/2006/relationships" name="Validacoes_Coordenador" sheetId="6" r:id="Rc0e2a79356534bb5"/>
    <x:sheet xmlns:r="http://schemas.openxmlformats.org/officeDocument/2006/relationships" name="Logs" sheetId="7" r:id="R93ce80d8db79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dd/mm/yyyy hh:mm:ss"/>
    <x:numFmt numFmtId="202" formatCode="dd/mm/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B91"/>
      </x:patternFill>
    </x:fill>
    <x:fill>
      <x:patternFill patternType="solid">
        <x:fgColor rgb="FFF04A13"/>
      </x:patternFill>
    </x:fill>
    <x:fill>
      <x:patternFill patternType="solid">
        <x:fgColor rgb="FFEEF5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d7354ad8d4d7a" /><Relationship Type="http://schemas.openxmlformats.org/officeDocument/2006/relationships/theme" Target="/xl/theme/theme1.xml" Id="R8d3d8b6abd0c451d" /><Relationship Type="http://schemas.openxmlformats.org/officeDocument/2006/relationships/sharedStrings" Target="/xl/sharedStrings.xml" Id="Rebb868a13fc048d3" /><Relationship Type="http://schemas.openxmlformats.org/officeDocument/2006/relationships/worksheet" Target="/xl/worksheets/sheet1.xml" Id="R355a0efad4844e1e" /><Relationship Type="http://schemas.openxmlformats.org/officeDocument/2006/relationships/worksheet" Target="/xl/worksheets/sheet2.xml" Id="Rc9cadb8f319b4352" /><Relationship Type="http://schemas.openxmlformats.org/officeDocument/2006/relationships/worksheet" Target="/xl/worksheets/sheet3.xml" Id="R6901fae11f884eb9" /><Relationship Type="http://schemas.openxmlformats.org/officeDocument/2006/relationships/worksheet" Target="/xl/worksheets/sheet4.xml" Id="R8127a7cb64b2421b" /><Relationship Type="http://schemas.openxmlformats.org/officeDocument/2006/relationships/worksheet" Target="/xl/worksheets/sheet5.xml" Id="R76e9d15b46aa4357" /><Relationship Type="http://schemas.openxmlformats.org/officeDocument/2006/relationships/worksheet" Target="/xl/worksheets/sheet6.xml" Id="Rc0e2a79356534bb5" /><Relationship Type="http://schemas.openxmlformats.org/officeDocument/2006/relationships/worksheet" Target="/xl/worksheets/sheet7.xml" Id="R93ce80d8db794f29" /></Relationships>
</file>

<file path=xl/tables/table1.xml><?xml version="1.0" encoding="utf-8"?>
<x:table xmlns:x="http://schemas.openxmlformats.org/spreadsheetml/2006/main" id="1" name="TabelaRegistrosPraticas" displayName="TabelaRegistrosPraticas" ref="A1:S2000" headerRowCount="1">
  <x:tableColumns count="19">
    <x:tableColumn id="1" name="Chave"/>
    <x:tableColumn id="2" name="ID"/>
    <x:tableColumn id="3" name="Enviado em"/>
    <x:tableColumn id="4" name="Data da aula"/>
    <x:tableColumn id="5" name="Professor"/>
    <x:tableColumn id="6" name="Turma"/>
    <x:tableColumn id="7" name="Curso/UC"/>
    <x:tableColumn id="8" name="Aula nº"/>
    <x:tableColumn id="9" name="Tema"/>
    <x:tableColumn id="10" name="Objetivo"/>
    <x:tableColumn id="11" name="Total itens"/>
    <x:tableColumn id="12" name="Itens concluídos"/>
    <x:tableColumn id="13" name="Progresso %"/>
    <x:tableColumn id="14" name="Status"/>
    <x:tableColumn id="15" name="Checklist JSON"/>
    <x:tableColumn id="16" name="Itens marcados"/>
    <x:tableColumn id="17" name="Observações"/>
    <x:tableColumn id="18" name="Versão app"/>
    <x:tableColumn id="19" name="Origem"/>
  </x:tableColumns>
  <x:tableStyleInfo name="TableStyleMedium2" showRowStripes="1"/>
</x:table>
</file>

<file path=xl/tables/table2.xml><?xml version="1.0" encoding="utf-8"?>
<x:table xmlns:x="http://schemas.openxmlformats.org/spreadsheetml/2006/main" id="3" name="TabelaProfessores" displayName="TabelaProfessores" ref="A1:D200" headerRowCount="1">
  <x:tableColumns count="4">
    <x:tableColumn id="1" name="Nome"/>
    <x:tableColumn id="2" name="E-mail"/>
    <x:tableColumn id="3" name="Perfil"/>
    <x:tableColumn id="4" name="Status"/>
  </x:tableColumns>
  <x:tableStyleInfo name="TableStyleMedium2" showRowStripes="1"/>
</x:table>
</file>

<file path=xl/tables/table3.xml><?xml version="1.0" encoding="utf-8"?>
<x:table xmlns:x="http://schemas.openxmlformats.org/spreadsheetml/2006/main" id="4" name="TabelaTurmas" displayName="TabelaTurmas" ref="A1:E200" headerRowCount="1">
  <x:tableColumns count="5">
    <x:tableColumn id="1" name="Turma"/>
    <x:tableColumn id="2" name="Curso/UC"/>
    <x:tableColumn id="3" name="Turno"/>
    <x:tableColumn id="4" name="Professor responsável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2" name="TabelaAulasPraticas" displayName="TabelaAulasPraticas" ref="A1:D16" headerRowCount="1">
  <x:tableColumns count="4">
    <x:tableColumn id="1" name="Aula"/>
    <x:tableColumn id="2" name="Tema"/>
    <x:tableColumn id="3" name="Objetivo"/>
    <x:tableColumn id="4" name="Evidência esperada"/>
  </x:tableColumns>
  <x:tableStyleInfo name="TableStyleMedium2" showRowStripes="1"/>
</x:table>
</file>

<file path=xl/tables/table5.xml><?xml version="1.0" encoding="utf-8"?>
<x:table xmlns:x="http://schemas.openxmlformats.org/spreadsheetml/2006/main" id="5" name="TabelaValidacoes" displayName="TabelaValidacoes" ref="A1:E500" headerRowCount="1">
  <x:tableColumns count="5">
    <x:tableColumn id="1" name="Data validação"/>
    <x:tableColumn id="2" name="Chave registro"/>
    <x:tableColumn id="3" name="Coordenador"/>
    <x:tableColumn id="4" name="Status validação"/>
    <x:tableColumn id="5" name="Observação do coordenad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16e1f5e86648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b09ccf25e74b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73ec28890c44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8ce629b78843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797370879945e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18" t="str">
        <x:v>Dashboard de Acompanhamento das Aulas Práticas Fotovoltaicas</x:v>
      </x:c>
      <x:c r="B1" s="18" t="str"/>
      <x:c r="C1" s="18" t="str"/>
      <x:c r="D1" s="18" t="str"/>
      <x:c r="E1" s="18" t="str"/>
      <x:c r="F1" s="18" t="str"/>
    </x:row>
    <x:row r="3">
      <x:c r="A3" s="24" t="str">
        <x:v>Indicador</x:v>
      </x:c>
      <x:c r="B3" s="24" t="str">
        <x:v>Valor</x:v>
      </x:c>
    </x:row>
    <x:row r="4">
      <x:c r="A4" s="29" t="str">
        <x:v>Total de registros enviados</x:v>
      </x:c>
      <x:c r="B4" s="33" t="n">
        <x:f>COUNTA(Registros_Praticas!A2:A2000)</x:f>
        <x:v>0</x:v>
      </x:c>
    </x:row>
    <x:row r="5">
      <x:c r="A5" s="29" t="str">
        <x:v>Aulas concluídas</x:v>
      </x:c>
      <x:c r="B5" s="33" t="n">
        <x:f>COUNTIF(Registros_Praticas!N2:N2000,"Concluída")</x:f>
        <x:v>0</x:v>
      </x:c>
    </x:row>
    <x:row r="6">
      <x:c r="A6" s="29" t="str">
        <x:v>Aulas em andamento</x:v>
      </x:c>
      <x:c r="B6" s="33" t="n">
        <x:f>COUNTIF(Registros_Praticas!N2:N2000,"Em andamento")</x:f>
        <x:v>0</x:v>
      </x:c>
    </x:row>
    <x:row r="7">
      <x:c r="A7" s="29" t="str">
        <x:v>Média de progresso</x:v>
      </x:c>
      <x:c r="B7" s="36" t="n">
        <x:f>IFERROR(AVERAGE(Registros_Praticas!M2:M2000),0)</x:f>
        <x:v>0</x:v>
      </x:c>
    </x:row>
    <x:row r="9">
      <x:c r="A9" s="39" t="str">
        <x:v>Use filtros na aba Registros_Praticas para acompanhar por professor, turma, data, aula e status.</x:v>
      </x:c>
      <x:c r="B9" s="39" t="str"/>
      <x:c r="C9" s="39" t="str"/>
      <x:c r="D9" s="39" t="str"/>
      <x:c r="E9" s="39" t="str"/>
      <x:c r="F9" s="39" t="str"/>
    </x:row>
  </x:sheetData>
  <x:mergeCells>
    <x:mergeCell ref="A1:F1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14" hidden="0" customWidth="1"/>
    <x:col min="5" max="5" width="22" hidden="0" customWidth="1"/>
    <x:col min="6" max="6" width="22" hidden="0" customWidth="1"/>
    <x:col min="7" max="7" width="32" hidden="0" customWidth="1"/>
    <x:col min="8" max="8" width="10" hidden="0" customWidth="1"/>
    <x:col min="9" max="9" width="36" hidden="0" customWidth="1"/>
    <x:col min="10" max="10" width="40" hidden="0" customWidth="1"/>
    <x:col min="11" max="11" width="12" hidden="0" customWidth="1"/>
    <x:col min="12" max="12" width="14" hidden="0" customWidth="1"/>
    <x:col min="13" max="13" width="12" hidden="0" customWidth="1"/>
    <x:col min="14" max="14" width="16" hidden="0" customWidth="1"/>
    <x:col min="15" max="15" width="36" hidden="0" customWidth="1"/>
    <x:col min="16" max="16" width="40" hidden="0" customWidth="1"/>
    <x:col min="17" max="17" width="40" hidden="0" customWidth="1"/>
    <x:col min="18" max="18" width="16" hidden="0" customWidth="1"/>
    <x:col min="19" max="19" width="14" hidden="0" customWidth="1"/>
  </x:cols>
  <x:sheetData>
    <x:row r="1" ht="26" customHeight="1">
      <x:c r="A1" s="6" t="str">
        <x:v>Chave</x:v>
      </x:c>
      <x:c r="B1" s="6" t="str">
        <x:v>ID</x:v>
      </x:c>
      <x:c r="C1" s="42" t="str">
        <x:v>Enviado em</x:v>
      </x:c>
      <x:c r="D1" s="44" t="str">
        <x:v>Data da aula</x:v>
      </x:c>
      <x:c r="E1" s="6" t="str">
        <x:v>Professor</x:v>
      </x:c>
      <x:c r="F1" s="6" t="str">
        <x:v>Turma</x:v>
      </x:c>
      <x:c r="G1" s="6" t="str">
        <x:v>Curso/UC</x:v>
      </x:c>
      <x:c r="H1" s="6" t="str">
        <x:v>Aula nº</x:v>
      </x:c>
      <x:c r="I1" s="6" t="str">
        <x:v>Tema</x:v>
      </x:c>
      <x:c r="J1" s="6" t="str">
        <x:v>Objetivo</x:v>
      </x:c>
      <x:c r="K1" s="6" t="str">
        <x:v>Total itens</x:v>
      </x:c>
      <x:c r="L1" s="6" t="str">
        <x:v>Itens concluídos</x:v>
      </x:c>
      <x:c r="M1" s="46" t="str">
        <x:v>Progresso %</x:v>
      </x:c>
      <x:c r="N1" s="6" t="str">
        <x:v>Status</x:v>
      </x:c>
      <x:c r="O1" s="6" t="str">
        <x:v>Checklist JSON</x:v>
      </x:c>
      <x:c r="P1" s="6" t="str">
        <x:v>Itens marcados</x:v>
      </x:c>
      <x:c r="Q1" s="6" t="str">
        <x:v>Observações</x:v>
      </x:c>
      <x:c r="R1" s="6" t="str">
        <x:v>Versão app</x:v>
      </x:c>
      <x:c r="S1" s="6" t="str">
        <x:v>Origem</x:v>
      </x:c>
      <x:c r="T1" s="14"/>
      <x:c r="U1" s="14"/>
      <x:c r="V1" s="14"/>
      <x:c r="W1" s="14"/>
      <x:c r="X1" s="14"/>
      <x:c r="Y1" s="14"/>
      <x:c r="Z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conditionalFormatting sqref="M2:M2000">
    <x:cfRule type="dataBar" priority="1">
      <x:dataBar>
        <x:cfvo type="min"/>
        <x:cfvo type="max"/>
        <x:color rgb="FF19C37D"/>
      </x:dataBar>
      <x:extLst>
        <x:ext xmlns:x14="http://schemas.microsoft.com/office/spreadsheetml/2009/9/main" uri="{B025F937-C7B1-47D3-B67F-A62EFF666E3E}">
          <x14:id>{6CFC7631-2DBF-222C-D890-6947E0F16280}</x14:id>
        </x:ext>
      </x:extLst>
    </x:cfRule>
  </x:conditionalFormatting>
  <x:dataValidations count="1">
    <x:dataValidation type="list" sqref="N2:N2000">
      <x:formula1>"Pendente,Em andamento,Concluída"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16e1f5e866487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CFC7631-2DBF-222C-D890-6947E0F16280}">
            <x14:dataBar gradient="1">
              <x14:cfvo type="min"/>
              <x14:cfvo type="max"/>
              <x14:fillColor rgb="FF19C37D"/>
            </x14:dataBar>
          </x14:cfRule>
          <xm:sqref>M2:M2000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14" hidden="0" customWidth="1"/>
  </x:cols>
  <x:sheetData>
    <x:row r="1" ht="26" customHeight="1">
      <x:c r="A1" s="6" t="str">
        <x:v>Nome</x:v>
      </x:c>
      <x:c r="B1" s="6" t="str">
        <x:v>E-mail</x:v>
      </x:c>
      <x:c r="C1" s="6" t="str">
        <x:v>Perfil</x:v>
      </x:c>
      <x:c r="D1" s="6" t="str">
        <x:v>Status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Professor Exemplo</x:v>
      </x:c>
      <x:c r="B2" s="14" t="str">
        <x:v>professor@senai.com</x:v>
      </x:c>
      <x:c r="C2" s="14" t="str">
        <x:v>professor</x:v>
      </x:c>
      <x:c r="D2" s="14" t="str">
        <x:v>ativo</x:v>
      </x:c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Coordenador Exemplo</x:v>
      </x:c>
      <x:c r="B3" s="14" t="str">
        <x:v>coordenador@senai.com</x:v>
      </x:c>
      <x:c r="C3" s="14" t="str">
        <x:v>coordenador</x:v>
      </x:c>
      <x:c r="D3" s="14" t="str">
        <x:v>ativo</x:v>
      </x:c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Administrador Exemplo</x:v>
      </x:c>
      <x:c r="B4" s="14" t="str">
        <x:v>admin@senai.com</x:v>
      </x:c>
      <x:c r="C4" s="14" t="str">
        <x:v>admin</x:v>
      </x:c>
      <x:c r="D4" s="14" t="str">
        <x:v>ativo</x:v>
      </x:c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2">
    <x:dataValidation type="list" sqref="C2:C200">
      <x:formula1>"professor,coordenador,admin"</x:formula1>
    </x:dataValidation>
    <x:dataValidation type="list" sqref="D2:D200">
      <x:formula1>"ativo,inativo"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b09ccf25e74b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24" hidden="0" customWidth="1"/>
    <x:col min="5" max="5" width="14" hidden="0" customWidth="1"/>
  </x:cols>
  <x:sheetData>
    <x:row r="1" ht="26" customHeight="1">
      <x:c r="A1" s="6" t="str">
        <x:v>Turma</x:v>
      </x:c>
      <x:c r="B1" s="6" t="str">
        <x:v>Curso/UC</x:v>
      </x:c>
      <x:c r="C1" s="6" t="str">
        <x:v>Turno</x:v>
      </x:c>
      <x:c r="D1" s="6" t="str">
        <x:v>Professor responsável</x:v>
      </x:c>
      <x:c r="E1" s="6" t="str">
        <x:v>Status</x:v>
      </x:c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FV 112h - Turma A</x:v>
      </x:c>
      <x:c r="B2" s="14" t="str">
        <x:v>Aplicações em Sistemas Fotovoltaicos 112 h</x:v>
      </x:c>
      <x:c r="C2" s="14" t="str">
        <x:v>Noite</x:v>
      </x:c>
      <x:c r="D2" s="14" t="str">
        <x:v>Professor Exemplo</x:v>
      </x:c>
      <x:c r="E2" s="14" t="str">
        <x:v>ativa</x:v>
      </x:c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1">
    <x:dataValidation type="list" sqref="E2:E200">
      <x:formula1>"ativa,inativa,concluída"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73ec28890c441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50" hidden="0" customWidth="1"/>
    <x:col min="4" max="4" width="42" hidden="0" customWidth="1"/>
  </x:cols>
  <x:sheetData>
    <x:row r="1" ht="26" customHeight="1">
      <x:c r="A1" s="6" t="str">
        <x:v>Aula</x:v>
      </x:c>
      <x:c r="B1" s="6" t="str">
        <x:v>Tema</x:v>
      </x:c>
      <x:c r="C1" s="6" t="str">
        <x:v>Objetivo</x:v>
      </x:c>
      <x:c r="D1" s="6" t="str">
        <x:v>Evidência esperada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n">
        <x:v>14</x:v>
      </x:c>
      <x:c r="B2" s="14" t="str">
        <x:v>Segurança, APR, ordem de serviço e reconhecimento do sistema fotovoltaico</x:v>
      </x:c>
      <x:c r="C2" s="14" t="str">
        <x:v>Preparar o aluno para atuar no laboratório com segurança, interpretando documentos e componentes.</x:v>
      </x:c>
      <x:c r="D2" s="14" t="str">
        <x:v>APR preenchida, checklist de materiais e identificação dos componentes.</x:v>
      </x:c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n">
        <x:v>15</x:v>
      </x:c>
      <x:c r="B3" s="14" t="str">
        <x:v>Cabos solares, conectores MC4 e crimpagem</x:v>
      </x:c>
      <x:c r="C3" s="14" t="str">
        <x:v>Preparar cabos solares e instalar conectores MC4 com polaridade correta.</x:v>
      </x:c>
      <x:c r="D3" s="14" t="str">
        <x:v>Cabos solares com conectores MC4 instalados, testados e identificados.</x:v>
      </x:c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n">
        <x:v>16</x:v>
      </x:c>
      <x:c r="B4" s="14" t="str">
        <x:v>Montagem da estrutura de fixação dos módulos</x:v>
      </x:c>
      <x:c r="C4" s="14" t="str">
        <x:v>Montar estrutura fotovoltaica com alinhamento, fixação e torque.</x:v>
      </x:c>
      <x:c r="D4" s="14" t="str">
        <x:v>Estrutura montada, alinhada e inspecionada.</x:v>
      </x:c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n">
        <x:v>17</x:v>
      </x:c>
      <x:c r="B5" s="14" t="str">
        <x:v>Instalação física dos módulos fotovoltaicos</x:v>
      </x:c>
      <x:c r="C5" s="14" t="str">
        <x:v>Instalar módulos na estrutura respeitando manuseio, fixação e organização dos cabos.</x:v>
      </x:c>
      <x:c r="D5" s="14" t="str">
        <x:v>Módulos instalados, fixados e com cabos organizados.</x:v>
      </x:c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n">
        <x:v>18</x:v>
      </x:c>
      <x:c r="B6" s="14" t="str">
        <x:v>Associação de módulos: série, paralelo e strings</x:v>
      </x:c>
      <x:c r="C6" s="14" t="str">
        <x:v>Montar strings com polaridade correta e medições seguras.</x:v>
      </x:c>
      <x:c r="D6" s="14" t="str">
        <x:v>String montada, medida e identificada.</x:v>
      </x:c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n">
        <x:v>19</x:v>
      </x:c>
      <x:c r="B7" s="14" t="str">
        <x:v>Montagem e ligação da string box CC</x:v>
      </x:c>
      <x:c r="C7" s="14" t="str">
        <x:v>Instalar string box CC e dispositivos de proteção.</x:v>
      </x:c>
      <x:c r="D7" s="14" t="str">
        <x:v>String box instalada, conectada e testada.</x:v>
      </x:c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n">
        <x:v>20</x:v>
      </x:c>
      <x:c r="B8" s="14" t="str">
        <x:v>Instalação do inversor on-grid e quadro CA</x:v>
      </x:c>
      <x:c r="C8" s="14" t="str">
        <x:v>Instalar inversor conectado à rede com proteção CA.</x:v>
      </x:c>
      <x:c r="D8" s="14" t="str">
        <x:v>Inversor instalado e quadro CA montado.</x:v>
      </x:c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n">
        <x:v>21</x:v>
      </x:c>
      <x:c r="B9" s="14" t="str">
        <x:v>Testes iniciais e partida do sistema on-grid em bancada</x:v>
      </x:c>
      <x:c r="C9" s="14" t="str">
        <x:v>Realizar testes de pré-energização e partida segura do sistema.</x:v>
      </x:c>
      <x:c r="D9" s="14" t="str">
        <x:v>Relatório de partida com medições e status do inversor.</x:v>
      </x:c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n">
        <x:v>22</x:v>
      </x:c>
      <x:c r="B10" s="14" t="str">
        <x:v>Sistema fotovoltaico off-grid: controlador, baterias e inversor isolado</x:v>
      </x:c>
      <x:c r="C10" s="14" t="str">
        <x:v>Montar sistema isolado com controlador, baterias, inversor e cargas.</x:v>
      </x:c>
      <x:c r="D10" s="14" t="str">
        <x:v>Sistema off-grid funcionando com medições registradas.</x:v>
      </x:c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 t="n">
        <x:v>23</x:v>
      </x:c>
      <x:c r="B11" s="14" t="str">
        <x:v>Sistema fotovoltaico híbrido com baterias e cargas essenciais</x:v>
      </x:c>
      <x:c r="C11" s="14" t="str">
        <x:v>Operar sistema híbrido com FV, rede, baterias e backup.</x:v>
      </x:c>
      <x:c r="D11" s="14" t="str">
        <x:v>Sistema híbrido com backup de cargas essenciais testado.</x:v>
      </x:c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 t="n">
        <x:v>24</x:v>
      </x:c>
      <x:c r="B12" s="14" t="str">
        <x:v>Configuração de monitoramento, datalogger e aplicativo</x:v>
      </x:c>
      <x:c r="C12" s="14" t="str">
        <x:v>Configurar monitoramento do inversor e interpretar dados de geração.</x:v>
      </x:c>
      <x:c r="D12" s="14" t="str">
        <x:v>Monitoramento configurado e dados visualizados.</x:v>
      </x:c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 t="n">
        <x:v>25</x:v>
      </x:c>
      <x:c r="B13" s="14" t="str">
        <x:v>Comissionamento do sistema fotovoltaico</x:v>
      </x:c>
      <x:c r="C13" s="14" t="str">
        <x:v>Validar tecnicamente o sistema instalado por inspeções, medições e testes.</x:v>
      </x:c>
      <x:c r="D13" s="14" t="str">
        <x:v>Checklist e relatório de comissionamento.</x:v>
      </x:c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 t="n">
        <x:v>26</x:v>
      </x:c>
      <x:c r="B14" s="14" t="str">
        <x:v>Manutenção preventiva e preditiva</x:v>
      </x:c>
      <x:c r="C14" s="14" t="str">
        <x:v>Executar inspeção, limpeza, reaperto, análise térmica e plano de manutenção.</x:v>
      </x:c>
      <x:c r="D14" s="14" t="str">
        <x:v>Checklist de manutenção e plano simples de manutenção.</x:v>
      </x:c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 t="n">
        <x:v>27</x:v>
      </x:c>
      <x:c r="B15" s="14" t="str">
        <x:v>Diagnóstico de falhas e manutenção corretiva</x:v>
      </x:c>
      <x:c r="C15" s="14" t="str">
        <x:v>Localizar falhas, corrigir e registrar a manutenção.</x:v>
      </x:c>
      <x:c r="D15" s="14" t="str">
        <x:v>Relatório de diagnóstico e falha corrigida.</x:v>
      </x:c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 t="n">
        <x:v>28</x:v>
      </x:c>
      <x:c r="B16" s="14" t="str">
        <x:v>Projeto prático final: montagem, testes e entrega técnica</x:v>
      </x:c>
      <x:c r="C16" s="14" t="str">
        <x:v>Integrar montagem, testes, monitoramento, comissionamento e entrega técnica.</x:v>
      </x:c>
      <x:c r="D16" s="14" t="str">
        <x:v>Sistema completo montado, testado e apresentado pela equipe.</x:v>
      </x:c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e38ce629b78843e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20" hidden="0" customWidth="1"/>
    <x:col min="5" max="5" width="42" hidden="0" customWidth="1"/>
  </x:cols>
  <x:sheetData>
    <x:row r="1" ht="26" customHeight="1">
      <x:c r="A1" s="42" t="str">
        <x:v>Data validação</x:v>
      </x:c>
      <x:c r="B1" s="6" t="str">
        <x:v>Chave registro</x:v>
      </x:c>
      <x:c r="C1" s="6" t="str">
        <x:v>Coordenador</x:v>
      </x:c>
      <x:c r="D1" s="6" t="str">
        <x:v>Status validação</x:v>
      </x:c>
      <x:c r="E1" s="6" t="str">
        <x:v>Observação do coordenador</x:v>
      </x:c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1">
    <x:dataValidation type="list" sqref="D2:D2000">
      <x:formula1>"Aprovado,Ajustar,Reprovado"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797370879945e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6" hidden="0" customWidth="1"/>
    <x:col min="4" max="4" width="16" hidden="0" customWidth="1"/>
    <x:col min="5" max="5" width="60" hidden="0" customWidth="1"/>
  </x:cols>
  <x:sheetData>
    <x:row r="1" ht="26" customHeight="1">
      <x:c r="A1" s="42" t="str">
        <x:v>Timestamp</x:v>
      </x:c>
      <x:c r="B1" s="6" t="str">
        <x:v>Tipo</x:v>
      </x:c>
      <x:c r="C1" s="6" t="str">
        <x:v>Mensagem</x:v>
      </x:c>
      <x:c r="D1" s="6" t="str">
        <x:v>Origem</x:v>
      </x:c>
      <x:c r="E1" s="6" t="str">
        <x:v>Payload JSON</x:v>
      </x:c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</x:worksheet>
</file>